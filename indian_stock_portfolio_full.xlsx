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meya\Downloads\"/>
    </mc:Choice>
  </mc:AlternateContent>
  <xr:revisionPtr revIDLastSave="0" documentId="13_ncr:1_{32C2F8BC-25DB-435A-9A14-76176D8C1B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rtfolio" sheetId="1" r:id="rId1"/>
  </sheets>
  <definedNames>
    <definedName name="_xlnm._FilterDatabase" localSheetId="0" hidden="1">Portfolio!$A$1:$L$56</definedName>
  </definedNames>
  <calcPr calcId="191029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2" i="1"/>
  <c r="J3" i="1"/>
  <c r="J4" i="1"/>
  <c r="J5" i="1"/>
  <c r="J6" i="1"/>
  <c r="J7" i="1"/>
  <c r="J8" i="1"/>
  <c r="L8" i="1" s="1"/>
  <c r="J9" i="1"/>
  <c r="L9" i="1" s="1"/>
  <c r="J10" i="1"/>
  <c r="L10" i="1" s="1"/>
  <c r="J11" i="1"/>
  <c r="L11" i="1" s="1"/>
  <c r="J12" i="1"/>
  <c r="J13" i="1"/>
  <c r="J14" i="1"/>
  <c r="J15" i="1"/>
  <c r="J16" i="1"/>
  <c r="L16" i="1" s="1"/>
  <c r="J17" i="1"/>
  <c r="L17" i="1" s="1"/>
  <c r="J18" i="1"/>
  <c r="L18" i="1" s="1"/>
  <c r="J19" i="1"/>
  <c r="J20" i="1"/>
  <c r="J21" i="1"/>
  <c r="J22" i="1"/>
  <c r="J23" i="1"/>
  <c r="J24" i="1"/>
  <c r="L24" i="1" s="1"/>
  <c r="J25" i="1"/>
  <c r="L25" i="1" s="1"/>
  <c r="J26" i="1"/>
  <c r="L26" i="1" s="1"/>
  <c r="J27" i="1"/>
  <c r="L27" i="1" s="1"/>
  <c r="J28" i="1"/>
  <c r="L28" i="1" s="1"/>
  <c r="J29" i="1"/>
  <c r="J30" i="1"/>
  <c r="J31" i="1"/>
  <c r="J32" i="1"/>
  <c r="L32" i="1" s="1"/>
  <c r="J33" i="1"/>
  <c r="L33" i="1" s="1"/>
  <c r="J34" i="1"/>
  <c r="L34" i="1" s="1"/>
  <c r="J35" i="1"/>
  <c r="J36" i="1"/>
  <c r="J37" i="1"/>
  <c r="J38" i="1"/>
  <c r="J39" i="1"/>
  <c r="J40" i="1"/>
  <c r="L40" i="1" s="1"/>
  <c r="J41" i="1"/>
  <c r="L41" i="1" s="1"/>
  <c r="J42" i="1"/>
  <c r="L42" i="1" s="1"/>
  <c r="J43" i="1"/>
  <c r="L43" i="1" s="1"/>
  <c r="J44" i="1"/>
  <c r="L44" i="1" s="1"/>
  <c r="J45" i="1"/>
  <c r="J46" i="1"/>
  <c r="J47" i="1"/>
  <c r="J48" i="1"/>
  <c r="L48" i="1" s="1"/>
  <c r="J49" i="1"/>
  <c r="L49" i="1" s="1"/>
  <c r="J50" i="1"/>
  <c r="L50" i="1" s="1"/>
  <c r="J51" i="1"/>
  <c r="J52" i="1"/>
  <c r="J53" i="1"/>
  <c r="J54" i="1"/>
  <c r="J55" i="1"/>
  <c r="J56" i="1"/>
  <c r="L56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L37" i="1" s="1"/>
  <c r="I38" i="1"/>
  <c r="L38" i="1" s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L53" i="1" s="1"/>
  <c r="I54" i="1"/>
  <c r="L54" i="1" s="1"/>
  <c r="I55" i="1"/>
  <c r="I56" i="1"/>
  <c r="J2" i="1"/>
  <c r="I2" i="1"/>
  <c r="L55" i="1" l="1"/>
  <c r="L47" i="1"/>
  <c r="L39" i="1"/>
  <c r="L31" i="1"/>
  <c r="L23" i="1"/>
  <c r="L15" i="1"/>
  <c r="L7" i="1"/>
  <c r="L22" i="1"/>
  <c r="L21" i="1"/>
  <c r="L12" i="1"/>
  <c r="L52" i="1"/>
  <c r="L36" i="1"/>
  <c r="L20" i="1"/>
  <c r="L51" i="1"/>
  <c r="L35" i="1"/>
  <c r="L19" i="1"/>
  <c r="L46" i="1"/>
  <c r="L30" i="1"/>
  <c r="L14" i="1"/>
  <c r="L6" i="1"/>
  <c r="L45" i="1"/>
  <c r="L29" i="1"/>
  <c r="L13" i="1"/>
  <c r="L5" i="1"/>
  <c r="L4" i="1"/>
  <c r="L2" i="1"/>
  <c r="L3" i="1"/>
</calcChain>
</file>

<file path=xl/sharedStrings.xml><?xml version="1.0" encoding="utf-8"?>
<sst xmlns="http://schemas.openxmlformats.org/spreadsheetml/2006/main" count="233" uniqueCount="137">
  <si>
    <t>Stock Name</t>
  </si>
  <si>
    <t>Buying Date</t>
  </si>
  <si>
    <t>Market Cap</t>
  </si>
  <si>
    <t>Dividend (₹)</t>
  </si>
  <si>
    <t>Sector</t>
  </si>
  <si>
    <t>Buying Price (₹)</t>
  </si>
  <si>
    <t>Current Price (₹)</t>
  </si>
  <si>
    <t>Quantity</t>
  </si>
  <si>
    <t>Returns (%)</t>
  </si>
  <si>
    <t>Reliance Industries</t>
  </si>
  <si>
    <t>2020-06-15</t>
  </si>
  <si>
    <t>Small Cap</t>
  </si>
  <si>
    <t>Banking</t>
  </si>
  <si>
    <t>TCS</t>
  </si>
  <si>
    <t>2022-07-09</t>
  </si>
  <si>
    <t>Pharma</t>
  </si>
  <si>
    <t>HDFC Bank</t>
  </si>
  <si>
    <t>2020-07-15</t>
  </si>
  <si>
    <t>Steel</t>
  </si>
  <si>
    <t>Infosys</t>
  </si>
  <si>
    <t>2024-07-02</t>
  </si>
  <si>
    <t>IT</t>
  </si>
  <si>
    <t>ICICI Bank</t>
  </si>
  <si>
    <t>2020-05-15</t>
  </si>
  <si>
    <t>Large Cap</t>
  </si>
  <si>
    <t>FMCG</t>
  </si>
  <si>
    <t>Bharti Airtel</t>
  </si>
  <si>
    <t>2023-04-18</t>
  </si>
  <si>
    <t>Asian Paints</t>
  </si>
  <si>
    <t>2022-07-07</t>
  </si>
  <si>
    <t>Infrastructure</t>
  </si>
  <si>
    <t>HUL</t>
  </si>
  <si>
    <t>2021-12-02</t>
  </si>
  <si>
    <t>Larsen &amp; Toubro</t>
  </si>
  <si>
    <t>2023-02-28</t>
  </si>
  <si>
    <t>Retail</t>
  </si>
  <si>
    <t>State Bank of India</t>
  </si>
  <si>
    <t>2024-06-24</t>
  </si>
  <si>
    <t>Kotak Mahindra Bank</t>
  </si>
  <si>
    <t>2021-09-25</t>
  </si>
  <si>
    <t>Mid Cap</t>
  </si>
  <si>
    <t>Energy</t>
  </si>
  <si>
    <t>Maruti Suzuki</t>
  </si>
  <si>
    <t>2023-08-03</t>
  </si>
  <si>
    <t>ITC</t>
  </si>
  <si>
    <t>2020-10-23</t>
  </si>
  <si>
    <t>NTPC</t>
  </si>
  <si>
    <t>2022-09-24</t>
  </si>
  <si>
    <t>Cement</t>
  </si>
  <si>
    <t>Bajaj Finance</t>
  </si>
  <si>
    <t>2021-05-31</t>
  </si>
  <si>
    <t>Axis Bank</t>
  </si>
  <si>
    <t>2022-11-23</t>
  </si>
  <si>
    <t>Titan Company</t>
  </si>
  <si>
    <t>2022-11-11</t>
  </si>
  <si>
    <t>Automobile</t>
  </si>
  <si>
    <t>Wipro</t>
  </si>
  <si>
    <t>2021-09-01</t>
  </si>
  <si>
    <t>UltraTech Cement</t>
  </si>
  <si>
    <t>2020-02-10</t>
  </si>
  <si>
    <t>Power Grid</t>
  </si>
  <si>
    <t>2021-03-08</t>
  </si>
  <si>
    <t>Adani Enterprises</t>
  </si>
  <si>
    <t>2023-04-20</t>
  </si>
  <si>
    <t>Adani Green</t>
  </si>
  <si>
    <t>2020-12-08</t>
  </si>
  <si>
    <t>Logistics</t>
  </si>
  <si>
    <t>Adani Ports</t>
  </si>
  <si>
    <t>2022-08-21</t>
  </si>
  <si>
    <t>Grasim</t>
  </si>
  <si>
    <t>2021-09-15</t>
  </si>
  <si>
    <t>JSW Steel</t>
  </si>
  <si>
    <t>2024-12-09</t>
  </si>
  <si>
    <t>Tata Steel</t>
  </si>
  <si>
    <t>2022-08-14</t>
  </si>
  <si>
    <t>Sun Pharma</t>
  </si>
  <si>
    <t>2020-10-26</t>
  </si>
  <si>
    <t>Telecom</t>
  </si>
  <si>
    <t>Dr Reddy's</t>
  </si>
  <si>
    <t>2022-03-02</t>
  </si>
  <si>
    <t>HCL Tech</t>
  </si>
  <si>
    <t>2022-04-20</t>
  </si>
  <si>
    <t>Tech Mahindra</t>
  </si>
  <si>
    <t>2020-12-25</t>
  </si>
  <si>
    <t>ONGC</t>
  </si>
  <si>
    <t>2024-08-17</t>
  </si>
  <si>
    <t>Coal India</t>
  </si>
  <si>
    <t>2022-10-22</t>
  </si>
  <si>
    <t>Tata Motors</t>
  </si>
  <si>
    <t>2022-02-14</t>
  </si>
  <si>
    <t>Power</t>
  </si>
  <si>
    <t>Vedanta</t>
  </si>
  <si>
    <t>2022-04-27</t>
  </si>
  <si>
    <t>Dixon Tech</t>
  </si>
  <si>
    <t>2020-11-25</t>
  </si>
  <si>
    <t>Tata Consumer</t>
  </si>
  <si>
    <t>2020-06-12</t>
  </si>
  <si>
    <t>Pidilite</t>
  </si>
  <si>
    <t>2024-07-11</t>
  </si>
  <si>
    <t>Bharat Forge</t>
  </si>
  <si>
    <t>2021-10-16</t>
  </si>
  <si>
    <t>Eicher Motors</t>
  </si>
  <si>
    <t>2024-04-01</t>
  </si>
  <si>
    <t>Zomato</t>
  </si>
  <si>
    <t>2022-12-06</t>
  </si>
  <si>
    <t>Nykaa</t>
  </si>
  <si>
    <t>2024-07-12</t>
  </si>
  <si>
    <t>Delhivery</t>
  </si>
  <si>
    <t>IRCTC</t>
  </si>
  <si>
    <t>2021-03-31</t>
  </si>
  <si>
    <t>Punjab National Bank</t>
  </si>
  <si>
    <t>2023-03-30</t>
  </si>
  <si>
    <t>Bank of Baroda</t>
  </si>
  <si>
    <t>2020-02-17</t>
  </si>
  <si>
    <t>TVS Motors</t>
  </si>
  <si>
    <t>2021-09-20</t>
  </si>
  <si>
    <t>Hero MotoCorp</t>
  </si>
  <si>
    <t>2024-09-28</t>
  </si>
  <si>
    <t>Shree Cement</t>
  </si>
  <si>
    <t>2023-02-01</t>
  </si>
  <si>
    <t>GAIL</t>
  </si>
  <si>
    <t>2023-11-02</t>
  </si>
  <si>
    <t>BEL</t>
  </si>
  <si>
    <t>2021-01-06</t>
  </si>
  <si>
    <t>M&amp;M</t>
  </si>
  <si>
    <t>2023-01-11</t>
  </si>
  <si>
    <t>Siemens</t>
  </si>
  <si>
    <t>2020-11-05</t>
  </si>
  <si>
    <t>ABB India</t>
  </si>
  <si>
    <t>2023-03-28</t>
  </si>
  <si>
    <t>Jio Financial</t>
  </si>
  <si>
    <t>2021-10-08</t>
  </si>
  <si>
    <t>2023-01-08</t>
  </si>
  <si>
    <t>Profit</t>
  </si>
  <si>
    <t>Total Invest</t>
  </si>
  <si>
    <t>Total Return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</si>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</sst>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"/>
  <sheetViews>
    <sheetView tabSelected="1" topLeftCell="F38" workbookViewId="0">
      <selection activeCell="N54" sqref="N54"/>
    </sheetView>
  </sheetViews>
  <sheetFormatPr defaultRowHeight="14.5" x14ac:dyDescent="0.35"/>
  <cols>
    <col min="1" max="3" width="22" style="1" customWidth="1"/>
    <col min="4" max="4" width="15.453125" style="1" bestFit="1" customWidth="1"/>
    <col min="5" max="11" width="22" style="1" customWidth="1"/>
    <col min="12" max="16384" width="8.7265625" style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134</v>
      </c>
      <c r="J1" s="2" t="s">
        <v>135</v>
      </c>
      <c r="K1" s="2" t="s">
        <v>8</v>
      </c>
      <c r="L1" s="2" t="s">
        <v>133</v>
      </c>
      <c r="M1" s="2" t="s">
        <v>136</v>
      </c>
    </row>
    <row r="2" spans="1:13" x14ac:dyDescent="0.35">
      <c r="A2" s="1" t="s">
        <v>9</v>
      </c>
      <c r="B2" s="1" t="s">
        <v>10</v>
      </c>
      <c r="C2" s="1" t="s">
        <v>11</v>
      </c>
      <c r="D2" s="1">
        <v>6.89</v>
      </c>
      <c r="E2" s="1" t="s">
        <v>12</v>
      </c>
      <c r="F2" s="1">
        <v>1599.16</v>
      </c>
      <c r="G2" s="1">
        <v>2070.33</v>
      </c>
      <c r="H2" s="1">
        <v>93</v>
      </c>
      <c r="I2" s="1">
        <f>H2*F2</f>
        <v>148721.88</v>
      </c>
      <c r="J2" s="1">
        <f>H2*G2</f>
        <v>192540.69</v>
      </c>
      <c r="K2" s="1">
        <v>29.46</v>
      </c>
      <c r="L2" s="1">
        <f>J2-I2</f>
        <v>43818.81</v>
      </c>
      <c r="M2" s="1">
        <f>YEAR(B2)</f>
        <v>2020</v>
      </c>
    </row>
    <row r="3" spans="1:13" x14ac:dyDescent="0.35">
      <c r="A3" s="1" t="s">
        <v>13</v>
      </c>
      <c r="B3" s="1" t="s">
        <v>14</v>
      </c>
      <c r="C3" s="1" t="s">
        <v>11</v>
      </c>
      <c r="D3" s="1">
        <v>43.55</v>
      </c>
      <c r="E3" s="1" t="s">
        <v>15</v>
      </c>
      <c r="F3" s="1">
        <v>1468.16</v>
      </c>
      <c r="G3" s="1">
        <v>1414.26</v>
      </c>
      <c r="H3" s="1">
        <v>102</v>
      </c>
      <c r="I3" s="1">
        <f t="shared" ref="I3:I56" si="0">H3*F3</f>
        <v>149752.32000000001</v>
      </c>
      <c r="J3" s="1">
        <f t="shared" ref="J3:J56" si="1">H3*G3</f>
        <v>144254.51999999999</v>
      </c>
      <c r="K3" s="1">
        <v>-3.67</v>
      </c>
      <c r="L3" s="1">
        <f t="shared" ref="L3:L56" si="2">J3-I3</f>
        <v>-5497.8000000000175</v>
      </c>
      <c r="M3" s="1">
        <f t="shared" ref="M3:M56" si="3">YEAR(B3)</f>
        <v>2022</v>
      </c>
    </row>
    <row r="4" spans="1:13" x14ac:dyDescent="0.35">
      <c r="A4" s="1" t="s">
        <v>16</v>
      </c>
      <c r="B4" s="1" t="s">
        <v>17</v>
      </c>
      <c r="C4" s="1" t="s">
        <v>11</v>
      </c>
      <c r="D4" s="1">
        <v>44.13</v>
      </c>
      <c r="E4" s="1" t="s">
        <v>18</v>
      </c>
      <c r="F4" s="1">
        <v>1025.33</v>
      </c>
      <c r="G4" s="1">
        <v>1262.56</v>
      </c>
      <c r="H4" s="1">
        <v>125</v>
      </c>
      <c r="I4" s="1">
        <f t="shared" si="0"/>
        <v>128166.24999999999</v>
      </c>
      <c r="J4" s="1">
        <f t="shared" si="1"/>
        <v>157820</v>
      </c>
      <c r="K4" s="1">
        <v>23.14</v>
      </c>
      <c r="L4" s="1">
        <f t="shared" si="2"/>
        <v>29653.750000000015</v>
      </c>
      <c r="M4" s="1">
        <f t="shared" si="3"/>
        <v>2020</v>
      </c>
    </row>
    <row r="5" spans="1:13" x14ac:dyDescent="0.35">
      <c r="A5" s="1" t="s">
        <v>19</v>
      </c>
      <c r="B5" s="1" t="s">
        <v>20</v>
      </c>
      <c r="C5" s="1" t="s">
        <v>11</v>
      </c>
      <c r="D5" s="1">
        <v>1.51</v>
      </c>
      <c r="E5" s="1" t="s">
        <v>21</v>
      </c>
      <c r="F5" s="1">
        <v>1266.8499999999999</v>
      </c>
      <c r="G5" s="1">
        <v>1623.53</v>
      </c>
      <c r="H5" s="1">
        <v>29</v>
      </c>
      <c r="I5" s="1">
        <f t="shared" si="0"/>
        <v>36738.649999999994</v>
      </c>
      <c r="J5" s="1">
        <f t="shared" si="1"/>
        <v>47082.37</v>
      </c>
      <c r="K5" s="1">
        <v>28.15</v>
      </c>
      <c r="L5" s="1">
        <f t="shared" si="2"/>
        <v>10343.720000000008</v>
      </c>
      <c r="M5" s="1">
        <f t="shared" si="3"/>
        <v>2024</v>
      </c>
    </row>
    <row r="6" spans="1:13" x14ac:dyDescent="0.35">
      <c r="A6" s="1" t="s">
        <v>22</v>
      </c>
      <c r="B6" s="1" t="s">
        <v>23</v>
      </c>
      <c r="C6" s="1" t="s">
        <v>24</v>
      </c>
      <c r="D6" s="1">
        <v>45.01</v>
      </c>
      <c r="E6" s="1" t="s">
        <v>25</v>
      </c>
      <c r="F6" s="1">
        <v>186.55</v>
      </c>
      <c r="G6" s="1">
        <v>237.57</v>
      </c>
      <c r="H6" s="1">
        <v>17</v>
      </c>
      <c r="I6" s="1">
        <f t="shared" si="0"/>
        <v>3171.3500000000004</v>
      </c>
      <c r="J6" s="1">
        <f t="shared" si="1"/>
        <v>4038.69</v>
      </c>
      <c r="K6" s="1">
        <v>27.35</v>
      </c>
      <c r="L6" s="1">
        <f t="shared" si="2"/>
        <v>867.33999999999969</v>
      </c>
      <c r="M6" s="1">
        <f t="shared" si="3"/>
        <v>2020</v>
      </c>
    </row>
    <row r="7" spans="1:13" x14ac:dyDescent="0.35">
      <c r="A7" s="1" t="s">
        <v>26</v>
      </c>
      <c r="B7" s="1" t="s">
        <v>27</v>
      </c>
      <c r="C7" s="1" t="s">
        <v>24</v>
      </c>
      <c r="D7" s="1">
        <v>34.43</v>
      </c>
      <c r="E7" s="1" t="s">
        <v>15</v>
      </c>
      <c r="F7" s="1">
        <v>1797.75</v>
      </c>
      <c r="G7" s="1">
        <v>2010.98</v>
      </c>
      <c r="H7" s="1">
        <v>1</v>
      </c>
      <c r="I7" s="1">
        <f t="shared" si="0"/>
        <v>1797.75</v>
      </c>
      <c r="J7" s="1">
        <f t="shared" si="1"/>
        <v>2010.98</v>
      </c>
      <c r="K7" s="1">
        <v>11.86</v>
      </c>
      <c r="L7" s="1">
        <f t="shared" si="2"/>
        <v>213.23000000000002</v>
      </c>
      <c r="M7" s="1">
        <f t="shared" si="3"/>
        <v>2023</v>
      </c>
    </row>
    <row r="8" spans="1:13" x14ac:dyDescent="0.35">
      <c r="A8" s="1" t="s">
        <v>28</v>
      </c>
      <c r="B8" s="1" t="s">
        <v>29</v>
      </c>
      <c r="C8" s="1" t="s">
        <v>24</v>
      </c>
      <c r="D8" s="1">
        <v>8.27</v>
      </c>
      <c r="E8" s="1" t="s">
        <v>30</v>
      </c>
      <c r="F8" s="1">
        <v>2535.14</v>
      </c>
      <c r="G8" s="1">
        <v>3306.92</v>
      </c>
      <c r="H8" s="1">
        <v>5</v>
      </c>
      <c r="I8" s="1">
        <f t="shared" si="0"/>
        <v>12675.699999999999</v>
      </c>
      <c r="J8" s="1">
        <f t="shared" si="1"/>
        <v>16534.599999999999</v>
      </c>
      <c r="K8" s="1">
        <v>30.44</v>
      </c>
      <c r="L8" s="1">
        <f t="shared" si="2"/>
        <v>3858.8999999999996</v>
      </c>
      <c r="M8" s="1">
        <f t="shared" si="3"/>
        <v>2022</v>
      </c>
    </row>
    <row r="9" spans="1:13" x14ac:dyDescent="0.35">
      <c r="A9" s="1" t="s">
        <v>31</v>
      </c>
      <c r="B9" s="1" t="s">
        <v>32</v>
      </c>
      <c r="C9" s="1" t="s">
        <v>11</v>
      </c>
      <c r="D9" s="1">
        <v>44.72</v>
      </c>
      <c r="E9" s="1" t="s">
        <v>30</v>
      </c>
      <c r="F9" s="1">
        <v>1295.44</v>
      </c>
      <c r="G9" s="1">
        <v>1191.31</v>
      </c>
      <c r="H9" s="1">
        <v>20</v>
      </c>
      <c r="I9" s="1">
        <f t="shared" si="0"/>
        <v>25908.800000000003</v>
      </c>
      <c r="J9" s="1">
        <f t="shared" si="1"/>
        <v>23826.199999999997</v>
      </c>
      <c r="K9" s="1">
        <v>-8.0399999999999991</v>
      </c>
      <c r="L9" s="1">
        <f t="shared" si="2"/>
        <v>-2082.6000000000058</v>
      </c>
      <c r="M9" s="1">
        <f t="shared" si="3"/>
        <v>2021</v>
      </c>
    </row>
    <row r="10" spans="1:13" x14ac:dyDescent="0.35">
      <c r="A10" s="1" t="s">
        <v>33</v>
      </c>
      <c r="B10" s="1" t="s">
        <v>34</v>
      </c>
      <c r="C10" s="1" t="s">
        <v>24</v>
      </c>
      <c r="D10" s="1">
        <v>40.21</v>
      </c>
      <c r="E10" s="1" t="s">
        <v>35</v>
      </c>
      <c r="F10" s="1">
        <v>2890.66</v>
      </c>
      <c r="G10" s="1">
        <v>2672.74</v>
      </c>
      <c r="H10" s="1">
        <v>31</v>
      </c>
      <c r="I10" s="1">
        <f t="shared" si="0"/>
        <v>89610.459999999992</v>
      </c>
      <c r="J10" s="1">
        <f t="shared" si="1"/>
        <v>82854.939999999988</v>
      </c>
      <c r="K10" s="1">
        <v>-7.54</v>
      </c>
      <c r="L10" s="1">
        <f t="shared" si="2"/>
        <v>-6755.5200000000041</v>
      </c>
      <c r="M10" s="1">
        <f t="shared" si="3"/>
        <v>2023</v>
      </c>
    </row>
    <row r="11" spans="1:13" x14ac:dyDescent="0.35">
      <c r="A11" s="1" t="s">
        <v>36</v>
      </c>
      <c r="B11" s="1" t="s">
        <v>37</v>
      </c>
      <c r="C11" s="1" t="s">
        <v>11</v>
      </c>
      <c r="D11" s="1">
        <v>48.23</v>
      </c>
      <c r="E11" s="1" t="s">
        <v>25</v>
      </c>
      <c r="F11" s="1">
        <v>214.06</v>
      </c>
      <c r="G11" s="1">
        <v>210.67</v>
      </c>
      <c r="H11" s="1">
        <v>66</v>
      </c>
      <c r="I11" s="1">
        <f t="shared" si="0"/>
        <v>14127.960000000001</v>
      </c>
      <c r="J11" s="1">
        <f t="shared" si="1"/>
        <v>13904.22</v>
      </c>
      <c r="K11" s="1">
        <v>-1.58</v>
      </c>
      <c r="L11" s="1">
        <f t="shared" si="2"/>
        <v>-223.7400000000016</v>
      </c>
      <c r="M11" s="1">
        <f t="shared" si="3"/>
        <v>2024</v>
      </c>
    </row>
    <row r="12" spans="1:13" x14ac:dyDescent="0.35">
      <c r="A12" s="1" t="s">
        <v>38</v>
      </c>
      <c r="B12" s="1" t="s">
        <v>39</v>
      </c>
      <c r="C12" s="1" t="s">
        <v>40</v>
      </c>
      <c r="D12" s="1">
        <v>45.89</v>
      </c>
      <c r="E12" s="1" t="s">
        <v>41</v>
      </c>
      <c r="F12" s="1">
        <v>1085.3</v>
      </c>
      <c r="G12" s="1">
        <v>941.96</v>
      </c>
      <c r="H12" s="1">
        <v>180</v>
      </c>
      <c r="I12" s="1">
        <f t="shared" si="0"/>
        <v>195354</v>
      </c>
      <c r="J12" s="1">
        <f t="shared" si="1"/>
        <v>169552.80000000002</v>
      </c>
      <c r="K12" s="1">
        <v>-13.21</v>
      </c>
      <c r="L12" s="1">
        <f t="shared" si="2"/>
        <v>-25801.199999999983</v>
      </c>
      <c r="M12" s="1">
        <f t="shared" si="3"/>
        <v>2021</v>
      </c>
    </row>
    <row r="13" spans="1:13" x14ac:dyDescent="0.35">
      <c r="A13" s="1" t="s">
        <v>42</v>
      </c>
      <c r="B13" s="1" t="s">
        <v>43</v>
      </c>
      <c r="C13" s="1" t="s">
        <v>40</v>
      </c>
      <c r="D13" s="1">
        <v>47.18</v>
      </c>
      <c r="E13" s="1" t="s">
        <v>12</v>
      </c>
      <c r="F13" s="1">
        <v>1014.72</v>
      </c>
      <c r="G13" s="1">
        <v>941.2</v>
      </c>
      <c r="H13" s="1">
        <v>89</v>
      </c>
      <c r="I13" s="1">
        <f t="shared" si="0"/>
        <v>90310.080000000002</v>
      </c>
      <c r="J13" s="1">
        <f t="shared" si="1"/>
        <v>83766.8</v>
      </c>
      <c r="K13" s="1">
        <v>-7.25</v>
      </c>
      <c r="L13" s="1">
        <f t="shared" si="2"/>
        <v>-6543.2799999999988</v>
      </c>
      <c r="M13" s="1">
        <f t="shared" si="3"/>
        <v>2023</v>
      </c>
    </row>
    <row r="14" spans="1:13" x14ac:dyDescent="0.35">
      <c r="A14" s="1" t="s">
        <v>44</v>
      </c>
      <c r="B14" s="1" t="s">
        <v>45</v>
      </c>
      <c r="C14" s="1" t="s">
        <v>40</v>
      </c>
      <c r="D14" s="1">
        <v>1.83</v>
      </c>
      <c r="E14" s="1" t="s">
        <v>30</v>
      </c>
      <c r="F14" s="1">
        <v>2941.05</v>
      </c>
      <c r="G14" s="1">
        <v>3676.1</v>
      </c>
      <c r="H14" s="1">
        <v>147</v>
      </c>
      <c r="I14" s="1">
        <f t="shared" si="0"/>
        <v>432334.35000000003</v>
      </c>
      <c r="J14" s="1">
        <f t="shared" si="1"/>
        <v>540386.69999999995</v>
      </c>
      <c r="K14" s="1">
        <v>24.99</v>
      </c>
      <c r="L14" s="1">
        <f t="shared" si="2"/>
        <v>108052.34999999992</v>
      </c>
      <c r="M14" s="1">
        <f t="shared" si="3"/>
        <v>2020</v>
      </c>
    </row>
    <row r="15" spans="1:13" x14ac:dyDescent="0.35">
      <c r="A15" s="1" t="s">
        <v>46</v>
      </c>
      <c r="B15" s="1" t="s">
        <v>47</v>
      </c>
      <c r="C15" s="1" t="s">
        <v>24</v>
      </c>
      <c r="D15" s="1">
        <v>37.39</v>
      </c>
      <c r="E15" s="1" t="s">
        <v>48</v>
      </c>
      <c r="F15" s="1">
        <v>801.11</v>
      </c>
      <c r="G15" s="1">
        <v>986.64</v>
      </c>
      <c r="H15" s="1">
        <v>104</v>
      </c>
      <c r="I15" s="1">
        <f t="shared" si="0"/>
        <v>83315.44</v>
      </c>
      <c r="J15" s="1">
        <f t="shared" si="1"/>
        <v>102610.56</v>
      </c>
      <c r="K15" s="1">
        <v>23.16</v>
      </c>
      <c r="L15" s="1">
        <f t="shared" si="2"/>
        <v>19295.119999999995</v>
      </c>
      <c r="M15" s="1">
        <f t="shared" si="3"/>
        <v>2022</v>
      </c>
    </row>
    <row r="16" spans="1:13" x14ac:dyDescent="0.35">
      <c r="A16" s="1" t="s">
        <v>49</v>
      </c>
      <c r="B16" s="1" t="s">
        <v>50</v>
      </c>
      <c r="C16" s="1" t="s">
        <v>24</v>
      </c>
      <c r="D16" s="1">
        <v>22.67</v>
      </c>
      <c r="E16" s="1" t="s">
        <v>25</v>
      </c>
      <c r="F16" s="1">
        <v>1145.93</v>
      </c>
      <c r="G16" s="1">
        <v>1179.52</v>
      </c>
      <c r="H16" s="1">
        <v>15</v>
      </c>
      <c r="I16" s="1">
        <f t="shared" si="0"/>
        <v>17188.95</v>
      </c>
      <c r="J16" s="1">
        <f t="shared" si="1"/>
        <v>17692.8</v>
      </c>
      <c r="K16" s="1">
        <v>2.93</v>
      </c>
      <c r="L16" s="1">
        <f t="shared" si="2"/>
        <v>503.84999999999854</v>
      </c>
      <c r="M16" s="1">
        <f t="shared" si="3"/>
        <v>2021</v>
      </c>
    </row>
    <row r="17" spans="1:13" x14ac:dyDescent="0.35">
      <c r="A17" s="1" t="s">
        <v>51</v>
      </c>
      <c r="B17" s="1" t="s">
        <v>52</v>
      </c>
      <c r="C17" s="1" t="s">
        <v>24</v>
      </c>
      <c r="D17" s="1">
        <v>43.45</v>
      </c>
      <c r="E17" s="1" t="s">
        <v>48</v>
      </c>
      <c r="F17" s="1">
        <v>2043.06</v>
      </c>
      <c r="G17" s="1">
        <v>1760.5</v>
      </c>
      <c r="H17" s="1">
        <v>170</v>
      </c>
      <c r="I17" s="1">
        <f t="shared" si="0"/>
        <v>347320.2</v>
      </c>
      <c r="J17" s="1">
        <f t="shared" si="1"/>
        <v>299285</v>
      </c>
      <c r="K17" s="1">
        <v>-13.83</v>
      </c>
      <c r="L17" s="1">
        <f t="shared" si="2"/>
        <v>-48035.200000000012</v>
      </c>
      <c r="M17" s="1">
        <f t="shared" si="3"/>
        <v>2022</v>
      </c>
    </row>
    <row r="18" spans="1:13" x14ac:dyDescent="0.35">
      <c r="A18" s="1" t="s">
        <v>53</v>
      </c>
      <c r="B18" s="1" t="s">
        <v>54</v>
      </c>
      <c r="C18" s="1" t="s">
        <v>24</v>
      </c>
      <c r="D18" s="1">
        <v>19.75</v>
      </c>
      <c r="E18" s="1" t="s">
        <v>55</v>
      </c>
      <c r="F18" s="1">
        <v>610.96</v>
      </c>
      <c r="G18" s="1">
        <v>552.24</v>
      </c>
      <c r="H18" s="1">
        <v>153</v>
      </c>
      <c r="I18" s="1">
        <f t="shared" si="0"/>
        <v>93476.88</v>
      </c>
      <c r="J18" s="1">
        <f t="shared" si="1"/>
        <v>84492.72</v>
      </c>
      <c r="K18" s="1">
        <v>-9.61</v>
      </c>
      <c r="L18" s="1">
        <f t="shared" si="2"/>
        <v>-8984.1600000000035</v>
      </c>
      <c r="M18" s="1">
        <f t="shared" si="3"/>
        <v>2022</v>
      </c>
    </row>
    <row r="19" spans="1:13" x14ac:dyDescent="0.35">
      <c r="A19" s="1" t="s">
        <v>56</v>
      </c>
      <c r="B19" s="1" t="s">
        <v>57</v>
      </c>
      <c r="C19" s="1" t="s">
        <v>24</v>
      </c>
      <c r="D19" s="1">
        <v>46.83</v>
      </c>
      <c r="E19" s="1" t="s">
        <v>41</v>
      </c>
      <c r="F19" s="1">
        <v>536.77</v>
      </c>
      <c r="G19" s="1">
        <v>494.67</v>
      </c>
      <c r="H19" s="1">
        <v>124</v>
      </c>
      <c r="I19" s="1">
        <f t="shared" si="0"/>
        <v>66559.48</v>
      </c>
      <c r="J19" s="1">
        <f t="shared" si="1"/>
        <v>61339.08</v>
      </c>
      <c r="K19" s="1">
        <v>-7.84</v>
      </c>
      <c r="L19" s="1">
        <f t="shared" si="2"/>
        <v>-5220.3999999999942</v>
      </c>
      <c r="M19" s="1">
        <f t="shared" si="3"/>
        <v>2021</v>
      </c>
    </row>
    <row r="20" spans="1:13" x14ac:dyDescent="0.35">
      <c r="A20" s="1" t="s">
        <v>58</v>
      </c>
      <c r="B20" s="1" t="s">
        <v>59</v>
      </c>
      <c r="C20" s="1" t="s">
        <v>11</v>
      </c>
      <c r="D20" s="1">
        <v>42.08</v>
      </c>
      <c r="E20" s="1" t="s">
        <v>55</v>
      </c>
      <c r="F20" s="1">
        <v>849.2</v>
      </c>
      <c r="G20" s="1">
        <v>877.96</v>
      </c>
      <c r="H20" s="1">
        <v>34</v>
      </c>
      <c r="I20" s="1">
        <f t="shared" si="0"/>
        <v>28872.800000000003</v>
      </c>
      <c r="J20" s="1">
        <f t="shared" si="1"/>
        <v>29850.639999999999</v>
      </c>
      <c r="K20" s="1">
        <v>3.39</v>
      </c>
      <c r="L20" s="1">
        <f t="shared" si="2"/>
        <v>977.83999999999651</v>
      </c>
      <c r="M20" s="1">
        <f t="shared" si="3"/>
        <v>2020</v>
      </c>
    </row>
    <row r="21" spans="1:13" x14ac:dyDescent="0.35">
      <c r="A21" s="1" t="s">
        <v>60</v>
      </c>
      <c r="B21" s="1" t="s">
        <v>61</v>
      </c>
      <c r="C21" s="1" t="s">
        <v>11</v>
      </c>
      <c r="D21" s="1">
        <v>34.97</v>
      </c>
      <c r="E21" s="1" t="s">
        <v>30</v>
      </c>
      <c r="F21" s="1">
        <v>1099.8499999999999</v>
      </c>
      <c r="G21" s="1">
        <v>1095.96</v>
      </c>
      <c r="H21" s="1">
        <v>109</v>
      </c>
      <c r="I21" s="1">
        <f t="shared" si="0"/>
        <v>119883.65</v>
      </c>
      <c r="J21" s="1">
        <f t="shared" si="1"/>
        <v>119459.64</v>
      </c>
      <c r="K21" s="1">
        <v>-0.35</v>
      </c>
      <c r="L21" s="1">
        <f t="shared" si="2"/>
        <v>-424.00999999999476</v>
      </c>
      <c r="M21" s="1">
        <f t="shared" si="3"/>
        <v>2021</v>
      </c>
    </row>
    <row r="22" spans="1:13" x14ac:dyDescent="0.35">
      <c r="A22" s="1" t="s">
        <v>62</v>
      </c>
      <c r="B22" s="1" t="s">
        <v>63</v>
      </c>
      <c r="C22" s="1" t="s">
        <v>40</v>
      </c>
      <c r="D22" s="1">
        <v>5.5</v>
      </c>
      <c r="E22" s="1" t="s">
        <v>18</v>
      </c>
      <c r="F22" s="1">
        <v>791.91</v>
      </c>
      <c r="G22" s="1">
        <v>763.05</v>
      </c>
      <c r="H22" s="1">
        <v>89</v>
      </c>
      <c r="I22" s="1">
        <f t="shared" si="0"/>
        <v>70479.989999999991</v>
      </c>
      <c r="J22" s="1">
        <f t="shared" si="1"/>
        <v>67911.45</v>
      </c>
      <c r="K22" s="1">
        <v>-3.64</v>
      </c>
      <c r="L22" s="1">
        <f t="shared" si="2"/>
        <v>-2568.5399999999936</v>
      </c>
      <c r="M22" s="1">
        <f t="shared" si="3"/>
        <v>2023</v>
      </c>
    </row>
    <row r="23" spans="1:13" x14ac:dyDescent="0.35">
      <c r="A23" s="1" t="s">
        <v>64</v>
      </c>
      <c r="B23" s="1" t="s">
        <v>65</v>
      </c>
      <c r="C23" s="1" t="s">
        <v>24</v>
      </c>
      <c r="D23" s="1">
        <v>28.16</v>
      </c>
      <c r="E23" s="1" t="s">
        <v>66</v>
      </c>
      <c r="F23" s="1">
        <v>596.11</v>
      </c>
      <c r="G23" s="1">
        <v>671.57</v>
      </c>
      <c r="H23" s="1">
        <v>104</v>
      </c>
      <c r="I23" s="1">
        <f t="shared" si="0"/>
        <v>61995.44</v>
      </c>
      <c r="J23" s="1">
        <f t="shared" si="1"/>
        <v>69843.28</v>
      </c>
      <c r="K23" s="1">
        <v>12.66</v>
      </c>
      <c r="L23" s="1">
        <f t="shared" si="2"/>
        <v>7847.8399999999965</v>
      </c>
      <c r="M23" s="1">
        <f t="shared" si="3"/>
        <v>2020</v>
      </c>
    </row>
    <row r="24" spans="1:13" x14ac:dyDescent="0.35">
      <c r="A24" s="1" t="s">
        <v>67</v>
      </c>
      <c r="B24" s="1" t="s">
        <v>68</v>
      </c>
      <c r="C24" s="1" t="s">
        <v>11</v>
      </c>
      <c r="D24" s="1">
        <v>8.81</v>
      </c>
      <c r="E24" s="1" t="s">
        <v>55</v>
      </c>
      <c r="F24" s="1">
        <v>1580.58</v>
      </c>
      <c r="G24" s="1">
        <v>1299.5899999999999</v>
      </c>
      <c r="H24" s="1">
        <v>100</v>
      </c>
      <c r="I24" s="1">
        <f t="shared" si="0"/>
        <v>158058</v>
      </c>
      <c r="J24" s="1">
        <f t="shared" si="1"/>
        <v>129958.99999999999</v>
      </c>
      <c r="K24" s="1">
        <v>-17.78</v>
      </c>
      <c r="L24" s="1">
        <f t="shared" si="2"/>
        <v>-28099.000000000015</v>
      </c>
      <c r="M24" s="1">
        <f t="shared" si="3"/>
        <v>2022</v>
      </c>
    </row>
    <row r="25" spans="1:13" x14ac:dyDescent="0.35">
      <c r="A25" s="1" t="s">
        <v>69</v>
      </c>
      <c r="B25" s="1" t="s">
        <v>70</v>
      </c>
      <c r="C25" s="1" t="s">
        <v>40</v>
      </c>
      <c r="D25" s="1">
        <v>11.72</v>
      </c>
      <c r="E25" s="1" t="s">
        <v>48</v>
      </c>
      <c r="F25" s="1">
        <v>1081.94</v>
      </c>
      <c r="G25" s="1">
        <v>1497.13</v>
      </c>
      <c r="H25" s="1">
        <v>191</v>
      </c>
      <c r="I25" s="1">
        <f t="shared" si="0"/>
        <v>206650.54</v>
      </c>
      <c r="J25" s="1">
        <f t="shared" si="1"/>
        <v>285951.83</v>
      </c>
      <c r="K25" s="1">
        <v>38.369999999999997</v>
      </c>
      <c r="L25" s="1">
        <f t="shared" si="2"/>
        <v>79301.290000000008</v>
      </c>
      <c r="M25" s="1">
        <f t="shared" si="3"/>
        <v>2021</v>
      </c>
    </row>
    <row r="26" spans="1:13" x14ac:dyDescent="0.35">
      <c r="A26" s="1" t="s">
        <v>71</v>
      </c>
      <c r="B26" s="1" t="s">
        <v>72</v>
      </c>
      <c r="C26" s="1" t="s">
        <v>11</v>
      </c>
      <c r="D26" s="1">
        <v>4.01</v>
      </c>
      <c r="E26" s="1" t="s">
        <v>30</v>
      </c>
      <c r="F26" s="1">
        <v>2319.3000000000002</v>
      </c>
      <c r="G26" s="1">
        <v>2180.58</v>
      </c>
      <c r="H26" s="1">
        <v>58</v>
      </c>
      <c r="I26" s="1">
        <f t="shared" si="0"/>
        <v>134519.40000000002</v>
      </c>
      <c r="J26" s="1">
        <f t="shared" si="1"/>
        <v>126473.64</v>
      </c>
      <c r="K26" s="1">
        <v>-5.98</v>
      </c>
      <c r="L26" s="1">
        <f t="shared" si="2"/>
        <v>-8045.7600000000239</v>
      </c>
      <c r="M26" s="1">
        <f t="shared" si="3"/>
        <v>2024</v>
      </c>
    </row>
    <row r="27" spans="1:13" x14ac:dyDescent="0.35">
      <c r="A27" s="1" t="s">
        <v>73</v>
      </c>
      <c r="B27" s="1" t="s">
        <v>74</v>
      </c>
      <c r="C27" s="1" t="s">
        <v>11</v>
      </c>
      <c r="D27" s="1">
        <v>42.83</v>
      </c>
      <c r="E27" s="1" t="s">
        <v>25</v>
      </c>
      <c r="F27" s="1">
        <v>445.87</v>
      </c>
      <c r="G27" s="1">
        <v>596.22</v>
      </c>
      <c r="H27" s="1">
        <v>160</v>
      </c>
      <c r="I27" s="1">
        <f t="shared" si="0"/>
        <v>71339.199999999997</v>
      </c>
      <c r="J27" s="1">
        <f t="shared" si="1"/>
        <v>95395.200000000012</v>
      </c>
      <c r="K27" s="1">
        <v>33.72</v>
      </c>
      <c r="L27" s="1">
        <f t="shared" si="2"/>
        <v>24056.000000000015</v>
      </c>
      <c r="M27" s="1">
        <f t="shared" si="3"/>
        <v>2022</v>
      </c>
    </row>
    <row r="28" spans="1:13" x14ac:dyDescent="0.35">
      <c r="A28" s="1" t="s">
        <v>75</v>
      </c>
      <c r="B28" s="1" t="s">
        <v>76</v>
      </c>
      <c r="C28" s="1" t="s">
        <v>40</v>
      </c>
      <c r="D28" s="1">
        <v>47.28</v>
      </c>
      <c r="E28" s="1" t="s">
        <v>77</v>
      </c>
      <c r="F28" s="1">
        <v>2772.92</v>
      </c>
      <c r="G28" s="1">
        <v>3499.09</v>
      </c>
      <c r="H28" s="1">
        <v>72</v>
      </c>
      <c r="I28" s="1">
        <f t="shared" si="0"/>
        <v>199650.24</v>
      </c>
      <c r="J28" s="1">
        <f t="shared" si="1"/>
        <v>251934.48</v>
      </c>
      <c r="K28" s="1">
        <v>26.19</v>
      </c>
      <c r="L28" s="1">
        <f t="shared" si="2"/>
        <v>52284.24000000002</v>
      </c>
      <c r="M28" s="1">
        <f t="shared" si="3"/>
        <v>2020</v>
      </c>
    </row>
    <row r="29" spans="1:13" x14ac:dyDescent="0.35">
      <c r="A29" s="1" t="s">
        <v>78</v>
      </c>
      <c r="B29" s="1" t="s">
        <v>79</v>
      </c>
      <c r="C29" s="1" t="s">
        <v>24</v>
      </c>
      <c r="D29" s="1">
        <v>8.31</v>
      </c>
      <c r="E29" s="1" t="s">
        <v>12</v>
      </c>
      <c r="F29" s="1">
        <v>170.34</v>
      </c>
      <c r="G29" s="1">
        <v>194.85</v>
      </c>
      <c r="H29" s="1">
        <v>164</v>
      </c>
      <c r="I29" s="1">
        <f t="shared" si="0"/>
        <v>27935.760000000002</v>
      </c>
      <c r="J29" s="1">
        <f t="shared" si="1"/>
        <v>31955.399999999998</v>
      </c>
      <c r="K29" s="1">
        <v>14.39</v>
      </c>
      <c r="L29" s="1">
        <f t="shared" si="2"/>
        <v>4019.6399999999958</v>
      </c>
      <c r="M29" s="1">
        <f t="shared" si="3"/>
        <v>2022</v>
      </c>
    </row>
    <row r="30" spans="1:13" x14ac:dyDescent="0.35">
      <c r="A30" s="1" t="s">
        <v>80</v>
      </c>
      <c r="B30" s="1" t="s">
        <v>81</v>
      </c>
      <c r="C30" s="1" t="s">
        <v>24</v>
      </c>
      <c r="D30" s="1">
        <v>2.76</v>
      </c>
      <c r="E30" s="1" t="s">
        <v>25</v>
      </c>
      <c r="F30" s="1">
        <v>669.4</v>
      </c>
      <c r="G30" s="1">
        <v>813.72</v>
      </c>
      <c r="H30" s="1">
        <v>160</v>
      </c>
      <c r="I30" s="1">
        <f t="shared" si="0"/>
        <v>107104</v>
      </c>
      <c r="J30" s="1">
        <f t="shared" si="1"/>
        <v>130195.20000000001</v>
      </c>
      <c r="K30" s="1">
        <v>21.56</v>
      </c>
      <c r="L30" s="1">
        <f t="shared" si="2"/>
        <v>23091.200000000012</v>
      </c>
      <c r="M30" s="1">
        <f t="shared" si="3"/>
        <v>2022</v>
      </c>
    </row>
    <row r="31" spans="1:13" x14ac:dyDescent="0.35">
      <c r="A31" s="1" t="s">
        <v>82</v>
      </c>
      <c r="B31" s="1" t="s">
        <v>83</v>
      </c>
      <c r="C31" s="1" t="s">
        <v>40</v>
      </c>
      <c r="D31" s="1">
        <v>45.86</v>
      </c>
      <c r="E31" s="1" t="s">
        <v>12</v>
      </c>
      <c r="F31" s="1">
        <v>1047.28</v>
      </c>
      <c r="G31" s="1">
        <v>1023.31</v>
      </c>
      <c r="H31" s="1">
        <v>45</v>
      </c>
      <c r="I31" s="1">
        <f t="shared" si="0"/>
        <v>47127.6</v>
      </c>
      <c r="J31" s="1">
        <f t="shared" si="1"/>
        <v>46048.95</v>
      </c>
      <c r="K31" s="1">
        <v>-2.29</v>
      </c>
      <c r="L31" s="1">
        <f t="shared" si="2"/>
        <v>-1078.6500000000015</v>
      </c>
      <c r="M31" s="1">
        <f t="shared" si="3"/>
        <v>2020</v>
      </c>
    </row>
    <row r="32" spans="1:13" x14ac:dyDescent="0.35">
      <c r="A32" s="1" t="s">
        <v>84</v>
      </c>
      <c r="B32" s="1" t="s">
        <v>85</v>
      </c>
      <c r="C32" s="1" t="s">
        <v>24</v>
      </c>
      <c r="D32" s="1">
        <v>46.8</v>
      </c>
      <c r="E32" s="1" t="s">
        <v>21</v>
      </c>
      <c r="F32" s="1">
        <v>1882.76</v>
      </c>
      <c r="G32" s="1">
        <v>1785.38</v>
      </c>
      <c r="H32" s="1">
        <v>37</v>
      </c>
      <c r="I32" s="1">
        <f t="shared" si="0"/>
        <v>69662.12</v>
      </c>
      <c r="J32" s="1">
        <f t="shared" si="1"/>
        <v>66059.06</v>
      </c>
      <c r="K32" s="1">
        <v>-5.17</v>
      </c>
      <c r="L32" s="1">
        <f t="shared" si="2"/>
        <v>-3603.0599999999977</v>
      </c>
      <c r="M32" s="1">
        <f t="shared" si="3"/>
        <v>2024</v>
      </c>
    </row>
    <row r="33" spans="1:13" x14ac:dyDescent="0.35">
      <c r="A33" s="1" t="s">
        <v>86</v>
      </c>
      <c r="B33" s="1" t="s">
        <v>87</v>
      </c>
      <c r="C33" s="1" t="s">
        <v>11</v>
      </c>
      <c r="D33" s="1">
        <v>1.72</v>
      </c>
      <c r="E33" s="1" t="s">
        <v>35</v>
      </c>
      <c r="F33" s="1">
        <v>1782.59</v>
      </c>
      <c r="G33" s="1">
        <v>2208.1</v>
      </c>
      <c r="H33" s="1">
        <v>148</v>
      </c>
      <c r="I33" s="1">
        <f t="shared" si="0"/>
        <v>263823.32</v>
      </c>
      <c r="J33" s="1">
        <f t="shared" si="1"/>
        <v>326798.8</v>
      </c>
      <c r="K33" s="1">
        <v>23.87</v>
      </c>
      <c r="L33" s="1">
        <f t="shared" si="2"/>
        <v>62975.479999999981</v>
      </c>
      <c r="M33" s="1">
        <f t="shared" si="3"/>
        <v>2022</v>
      </c>
    </row>
    <row r="34" spans="1:13" x14ac:dyDescent="0.35">
      <c r="A34" s="1" t="s">
        <v>88</v>
      </c>
      <c r="B34" s="1" t="s">
        <v>89</v>
      </c>
      <c r="C34" s="1" t="s">
        <v>40</v>
      </c>
      <c r="D34" s="1">
        <v>39.74</v>
      </c>
      <c r="E34" s="1" t="s">
        <v>90</v>
      </c>
      <c r="F34" s="1">
        <v>1502.46</v>
      </c>
      <c r="G34" s="1">
        <v>1558.12</v>
      </c>
      <c r="H34" s="1">
        <v>85</v>
      </c>
      <c r="I34" s="1">
        <f t="shared" si="0"/>
        <v>127709.1</v>
      </c>
      <c r="J34" s="1">
        <f t="shared" si="1"/>
        <v>132440.19999999998</v>
      </c>
      <c r="K34" s="1">
        <v>3.7</v>
      </c>
      <c r="L34" s="1">
        <f t="shared" si="2"/>
        <v>4731.0999999999767</v>
      </c>
      <c r="M34" s="1">
        <f t="shared" si="3"/>
        <v>2022</v>
      </c>
    </row>
    <row r="35" spans="1:13" x14ac:dyDescent="0.35">
      <c r="A35" s="1" t="s">
        <v>91</v>
      </c>
      <c r="B35" s="1" t="s">
        <v>92</v>
      </c>
      <c r="C35" s="1" t="s">
        <v>11</v>
      </c>
      <c r="D35" s="1">
        <v>7.4</v>
      </c>
      <c r="E35" s="1" t="s">
        <v>18</v>
      </c>
      <c r="F35" s="1">
        <v>1176.95</v>
      </c>
      <c r="G35" s="1">
        <v>1500.13</v>
      </c>
      <c r="H35" s="1">
        <v>181</v>
      </c>
      <c r="I35" s="1">
        <f t="shared" si="0"/>
        <v>213027.95</v>
      </c>
      <c r="J35" s="1">
        <f t="shared" si="1"/>
        <v>271523.53000000003</v>
      </c>
      <c r="K35" s="1">
        <v>27.46</v>
      </c>
      <c r="L35" s="1">
        <f t="shared" si="2"/>
        <v>58495.580000000016</v>
      </c>
      <c r="M35" s="1">
        <f t="shared" si="3"/>
        <v>2022</v>
      </c>
    </row>
    <row r="36" spans="1:13" x14ac:dyDescent="0.35">
      <c r="A36" s="1" t="s">
        <v>93</v>
      </c>
      <c r="B36" s="1" t="s">
        <v>94</v>
      </c>
      <c r="C36" s="1" t="s">
        <v>24</v>
      </c>
      <c r="D36" s="1">
        <v>9.2799999999999994</v>
      </c>
      <c r="E36" s="1" t="s">
        <v>90</v>
      </c>
      <c r="F36" s="1">
        <v>2036.46</v>
      </c>
      <c r="G36" s="1">
        <v>2477.84</v>
      </c>
      <c r="H36" s="1">
        <v>196</v>
      </c>
      <c r="I36" s="1">
        <f t="shared" si="0"/>
        <v>399146.16000000003</v>
      </c>
      <c r="J36" s="1">
        <f t="shared" si="1"/>
        <v>485656.64</v>
      </c>
      <c r="K36" s="1">
        <v>21.67</v>
      </c>
      <c r="L36" s="1">
        <f t="shared" si="2"/>
        <v>86510.479999999981</v>
      </c>
      <c r="M36" s="1">
        <f t="shared" si="3"/>
        <v>2020</v>
      </c>
    </row>
    <row r="37" spans="1:13" x14ac:dyDescent="0.35">
      <c r="A37" s="1" t="s">
        <v>95</v>
      </c>
      <c r="B37" s="1" t="s">
        <v>96</v>
      </c>
      <c r="C37" s="1" t="s">
        <v>24</v>
      </c>
      <c r="D37" s="1">
        <v>47.43</v>
      </c>
      <c r="E37" s="1" t="s">
        <v>35</v>
      </c>
      <c r="F37" s="1">
        <v>1754.09</v>
      </c>
      <c r="G37" s="1">
        <v>1878.24</v>
      </c>
      <c r="H37" s="1">
        <v>196</v>
      </c>
      <c r="I37" s="1">
        <f t="shared" si="0"/>
        <v>343801.63999999996</v>
      </c>
      <c r="J37" s="1">
        <f t="shared" si="1"/>
        <v>368135.04</v>
      </c>
      <c r="K37" s="1">
        <v>7.08</v>
      </c>
      <c r="L37" s="1">
        <f t="shared" si="2"/>
        <v>24333.400000000023</v>
      </c>
      <c r="M37" s="1">
        <f t="shared" si="3"/>
        <v>2020</v>
      </c>
    </row>
    <row r="38" spans="1:13" x14ac:dyDescent="0.35">
      <c r="A38" s="1" t="s">
        <v>97</v>
      </c>
      <c r="B38" s="1" t="s">
        <v>98</v>
      </c>
      <c r="C38" s="1" t="s">
        <v>11</v>
      </c>
      <c r="D38" s="1">
        <v>30.76</v>
      </c>
      <c r="E38" s="1" t="s">
        <v>41</v>
      </c>
      <c r="F38" s="1">
        <v>2758.01</v>
      </c>
      <c r="G38" s="1">
        <v>2535.88</v>
      </c>
      <c r="H38" s="1">
        <v>191</v>
      </c>
      <c r="I38" s="1">
        <f t="shared" si="0"/>
        <v>526779.91</v>
      </c>
      <c r="J38" s="1">
        <f t="shared" si="1"/>
        <v>484353.08</v>
      </c>
      <c r="K38" s="1">
        <v>-8.0500000000000007</v>
      </c>
      <c r="L38" s="1">
        <f t="shared" si="2"/>
        <v>-42426.830000000016</v>
      </c>
      <c r="M38" s="1">
        <f t="shared" si="3"/>
        <v>2024</v>
      </c>
    </row>
    <row r="39" spans="1:13" x14ac:dyDescent="0.35">
      <c r="A39" s="1" t="s">
        <v>99</v>
      </c>
      <c r="B39" s="1" t="s">
        <v>100</v>
      </c>
      <c r="C39" s="1" t="s">
        <v>24</v>
      </c>
      <c r="D39" s="1">
        <v>31.08</v>
      </c>
      <c r="E39" s="1" t="s">
        <v>12</v>
      </c>
      <c r="F39" s="1">
        <v>2098.91</v>
      </c>
      <c r="G39" s="1">
        <v>1848.82</v>
      </c>
      <c r="H39" s="1">
        <v>37</v>
      </c>
      <c r="I39" s="1">
        <f t="shared" si="0"/>
        <v>77659.67</v>
      </c>
      <c r="J39" s="1">
        <f t="shared" si="1"/>
        <v>68406.34</v>
      </c>
      <c r="K39" s="1">
        <v>-11.92</v>
      </c>
      <c r="L39" s="1">
        <f t="shared" si="2"/>
        <v>-9253.3300000000017</v>
      </c>
      <c r="M39" s="1">
        <f t="shared" si="3"/>
        <v>2021</v>
      </c>
    </row>
    <row r="40" spans="1:13" x14ac:dyDescent="0.35">
      <c r="A40" s="1" t="s">
        <v>101</v>
      </c>
      <c r="B40" s="1" t="s">
        <v>102</v>
      </c>
      <c r="C40" s="1" t="s">
        <v>11</v>
      </c>
      <c r="D40" s="1">
        <v>23.52</v>
      </c>
      <c r="E40" s="1" t="s">
        <v>35</v>
      </c>
      <c r="F40" s="1">
        <v>1936.12</v>
      </c>
      <c r="G40" s="1">
        <v>2477.37</v>
      </c>
      <c r="H40" s="1">
        <v>2</v>
      </c>
      <c r="I40" s="1">
        <f t="shared" si="0"/>
        <v>3872.24</v>
      </c>
      <c r="J40" s="1">
        <f t="shared" si="1"/>
        <v>4954.74</v>
      </c>
      <c r="K40" s="1">
        <v>27.96</v>
      </c>
      <c r="L40" s="1">
        <f t="shared" si="2"/>
        <v>1082.5</v>
      </c>
      <c r="M40" s="1">
        <f t="shared" si="3"/>
        <v>2024</v>
      </c>
    </row>
    <row r="41" spans="1:13" x14ac:dyDescent="0.35">
      <c r="A41" s="1" t="s">
        <v>103</v>
      </c>
      <c r="B41" s="1" t="s">
        <v>104</v>
      </c>
      <c r="C41" s="1" t="s">
        <v>24</v>
      </c>
      <c r="D41" s="1">
        <v>16.010000000000002</v>
      </c>
      <c r="E41" s="1" t="s">
        <v>35</v>
      </c>
      <c r="F41" s="1">
        <v>196.9</v>
      </c>
      <c r="G41" s="1">
        <v>187.87</v>
      </c>
      <c r="H41" s="1">
        <v>73</v>
      </c>
      <c r="I41" s="1">
        <f t="shared" si="0"/>
        <v>14373.7</v>
      </c>
      <c r="J41" s="1">
        <f t="shared" si="1"/>
        <v>13714.51</v>
      </c>
      <c r="K41" s="1">
        <v>-4.59</v>
      </c>
      <c r="L41" s="1">
        <f t="shared" si="2"/>
        <v>-659.19000000000051</v>
      </c>
      <c r="M41" s="1">
        <f t="shared" si="3"/>
        <v>2022</v>
      </c>
    </row>
    <row r="42" spans="1:13" x14ac:dyDescent="0.35">
      <c r="A42" s="1" t="s">
        <v>105</v>
      </c>
      <c r="B42" s="1" t="s">
        <v>106</v>
      </c>
      <c r="C42" s="1" t="s">
        <v>11</v>
      </c>
      <c r="D42" s="1">
        <v>6.18</v>
      </c>
      <c r="E42" s="1" t="s">
        <v>21</v>
      </c>
      <c r="F42" s="1">
        <v>492.46</v>
      </c>
      <c r="G42" s="1">
        <v>565.91999999999996</v>
      </c>
      <c r="H42" s="1">
        <v>27</v>
      </c>
      <c r="I42" s="1">
        <f t="shared" si="0"/>
        <v>13296.42</v>
      </c>
      <c r="J42" s="1">
        <f t="shared" si="1"/>
        <v>15279.839999999998</v>
      </c>
      <c r="K42" s="1">
        <v>14.92</v>
      </c>
      <c r="L42" s="1">
        <f t="shared" si="2"/>
        <v>1983.4199999999983</v>
      </c>
      <c r="M42" s="1">
        <f t="shared" si="3"/>
        <v>2024</v>
      </c>
    </row>
    <row r="43" spans="1:13" x14ac:dyDescent="0.35">
      <c r="A43" s="1" t="s">
        <v>107</v>
      </c>
      <c r="B43" s="1" t="s">
        <v>70</v>
      </c>
      <c r="C43" s="1" t="s">
        <v>11</v>
      </c>
      <c r="D43" s="1">
        <v>29.48</v>
      </c>
      <c r="E43" s="1" t="s">
        <v>18</v>
      </c>
      <c r="F43" s="1">
        <v>2081.63</v>
      </c>
      <c r="G43" s="1">
        <v>1786.88</v>
      </c>
      <c r="H43" s="1">
        <v>197</v>
      </c>
      <c r="I43" s="1">
        <f t="shared" si="0"/>
        <v>410081.11000000004</v>
      </c>
      <c r="J43" s="1">
        <f t="shared" si="1"/>
        <v>352015.36000000004</v>
      </c>
      <c r="K43" s="1">
        <v>-14.16</v>
      </c>
      <c r="L43" s="1">
        <f t="shared" si="2"/>
        <v>-58065.75</v>
      </c>
      <c r="M43" s="1">
        <f t="shared" si="3"/>
        <v>2021</v>
      </c>
    </row>
    <row r="44" spans="1:13" x14ac:dyDescent="0.35">
      <c r="A44" s="1" t="s">
        <v>108</v>
      </c>
      <c r="B44" s="1" t="s">
        <v>109</v>
      </c>
      <c r="C44" s="1" t="s">
        <v>24</v>
      </c>
      <c r="D44" s="1">
        <v>30</v>
      </c>
      <c r="E44" s="1" t="s">
        <v>25</v>
      </c>
      <c r="F44" s="1">
        <v>2489.83</v>
      </c>
      <c r="G44" s="1">
        <v>3458.53</v>
      </c>
      <c r="H44" s="1">
        <v>141</v>
      </c>
      <c r="I44" s="1">
        <f t="shared" si="0"/>
        <v>351066.02999999997</v>
      </c>
      <c r="J44" s="1">
        <f t="shared" si="1"/>
        <v>487652.73000000004</v>
      </c>
      <c r="K44" s="1">
        <v>38.909999999999997</v>
      </c>
      <c r="L44" s="1">
        <f t="shared" si="2"/>
        <v>136586.70000000007</v>
      </c>
      <c r="M44" s="1">
        <f t="shared" si="3"/>
        <v>2021</v>
      </c>
    </row>
    <row r="45" spans="1:13" x14ac:dyDescent="0.35">
      <c r="A45" s="1" t="s">
        <v>110</v>
      </c>
      <c r="B45" s="1" t="s">
        <v>111</v>
      </c>
      <c r="C45" s="1" t="s">
        <v>11</v>
      </c>
      <c r="D45" s="1">
        <v>18.23</v>
      </c>
      <c r="E45" s="1" t="s">
        <v>12</v>
      </c>
      <c r="F45" s="1">
        <v>688.76</v>
      </c>
      <c r="G45" s="1">
        <v>696.35</v>
      </c>
      <c r="H45" s="1">
        <v>95</v>
      </c>
      <c r="I45" s="1">
        <f t="shared" si="0"/>
        <v>65432.2</v>
      </c>
      <c r="J45" s="1">
        <f t="shared" si="1"/>
        <v>66153.25</v>
      </c>
      <c r="K45" s="1">
        <v>1.1000000000000001</v>
      </c>
      <c r="L45" s="1">
        <f t="shared" si="2"/>
        <v>721.05000000000291</v>
      </c>
      <c r="M45" s="1">
        <f t="shared" si="3"/>
        <v>2023</v>
      </c>
    </row>
    <row r="46" spans="1:13" x14ac:dyDescent="0.35">
      <c r="A46" s="1" t="s">
        <v>112</v>
      </c>
      <c r="B46" s="1" t="s">
        <v>113</v>
      </c>
      <c r="C46" s="1" t="s">
        <v>24</v>
      </c>
      <c r="D46" s="1">
        <v>33.57</v>
      </c>
      <c r="E46" s="1" t="s">
        <v>77</v>
      </c>
      <c r="F46" s="1">
        <v>1208.1500000000001</v>
      </c>
      <c r="G46" s="1">
        <v>1471.65</v>
      </c>
      <c r="H46" s="1">
        <v>169</v>
      </c>
      <c r="I46" s="1">
        <f t="shared" si="0"/>
        <v>204177.35</v>
      </c>
      <c r="J46" s="1">
        <f t="shared" si="1"/>
        <v>248708.85</v>
      </c>
      <c r="K46" s="1">
        <v>21.81</v>
      </c>
      <c r="L46" s="1">
        <f t="shared" si="2"/>
        <v>44531.5</v>
      </c>
      <c r="M46" s="1">
        <f t="shared" si="3"/>
        <v>2020</v>
      </c>
    </row>
    <row r="47" spans="1:13" x14ac:dyDescent="0.35">
      <c r="A47" s="1" t="s">
        <v>114</v>
      </c>
      <c r="B47" s="1" t="s">
        <v>115</v>
      </c>
      <c r="C47" s="1" t="s">
        <v>11</v>
      </c>
      <c r="D47" s="1">
        <v>38.31</v>
      </c>
      <c r="E47" s="1" t="s">
        <v>66</v>
      </c>
      <c r="F47" s="1">
        <v>943.28</v>
      </c>
      <c r="G47" s="1">
        <v>770.76</v>
      </c>
      <c r="H47" s="1">
        <v>185</v>
      </c>
      <c r="I47" s="1">
        <f t="shared" si="0"/>
        <v>174506.8</v>
      </c>
      <c r="J47" s="1">
        <f t="shared" si="1"/>
        <v>142590.6</v>
      </c>
      <c r="K47" s="1">
        <v>-18.29</v>
      </c>
      <c r="L47" s="1">
        <f t="shared" si="2"/>
        <v>-31916.199999999983</v>
      </c>
      <c r="M47" s="1">
        <f t="shared" si="3"/>
        <v>2021</v>
      </c>
    </row>
    <row r="48" spans="1:13" x14ac:dyDescent="0.35">
      <c r="A48" s="1" t="s">
        <v>116</v>
      </c>
      <c r="B48" s="1" t="s">
        <v>117</v>
      </c>
      <c r="C48" s="1" t="s">
        <v>11</v>
      </c>
      <c r="D48" s="1">
        <v>29.92</v>
      </c>
      <c r="E48" s="1" t="s">
        <v>21</v>
      </c>
      <c r="F48" s="1">
        <v>2550.27</v>
      </c>
      <c r="G48" s="1">
        <v>3446.19</v>
      </c>
      <c r="H48" s="1">
        <v>32</v>
      </c>
      <c r="I48" s="1">
        <f t="shared" si="0"/>
        <v>81608.639999999999</v>
      </c>
      <c r="J48" s="1">
        <f t="shared" si="1"/>
        <v>110278.08</v>
      </c>
      <c r="K48" s="1">
        <v>35.130000000000003</v>
      </c>
      <c r="L48" s="1">
        <f t="shared" si="2"/>
        <v>28669.440000000002</v>
      </c>
      <c r="M48" s="1">
        <f t="shared" si="3"/>
        <v>2024</v>
      </c>
    </row>
    <row r="49" spans="1:13" x14ac:dyDescent="0.35">
      <c r="A49" s="1" t="s">
        <v>118</v>
      </c>
      <c r="B49" s="1" t="s">
        <v>119</v>
      </c>
      <c r="C49" s="1" t="s">
        <v>24</v>
      </c>
      <c r="D49" s="1">
        <v>29.19</v>
      </c>
      <c r="E49" s="1" t="s">
        <v>41</v>
      </c>
      <c r="F49" s="1">
        <v>957.37</v>
      </c>
      <c r="G49" s="1">
        <v>841.3</v>
      </c>
      <c r="H49" s="1">
        <v>146</v>
      </c>
      <c r="I49" s="1">
        <f t="shared" si="0"/>
        <v>139776.01999999999</v>
      </c>
      <c r="J49" s="1">
        <f t="shared" si="1"/>
        <v>122829.79999999999</v>
      </c>
      <c r="K49" s="1">
        <v>-12.12</v>
      </c>
      <c r="L49" s="1">
        <f t="shared" si="2"/>
        <v>-16946.22</v>
      </c>
      <c r="M49" s="1">
        <f t="shared" si="3"/>
        <v>2023</v>
      </c>
    </row>
    <row r="50" spans="1:13" x14ac:dyDescent="0.35">
      <c r="A50" s="1" t="s">
        <v>120</v>
      </c>
      <c r="B50" s="1" t="s">
        <v>121</v>
      </c>
      <c r="C50" s="1" t="s">
        <v>24</v>
      </c>
      <c r="D50" s="1">
        <v>1.81</v>
      </c>
      <c r="E50" s="1" t="s">
        <v>15</v>
      </c>
      <c r="F50" s="1">
        <v>646.83000000000004</v>
      </c>
      <c r="G50" s="1">
        <v>735.66</v>
      </c>
      <c r="H50" s="1">
        <v>169</v>
      </c>
      <c r="I50" s="1">
        <f t="shared" si="0"/>
        <v>109314.27</v>
      </c>
      <c r="J50" s="1">
        <f t="shared" si="1"/>
        <v>124326.54</v>
      </c>
      <c r="K50" s="1">
        <v>13.73</v>
      </c>
      <c r="L50" s="1">
        <f t="shared" si="2"/>
        <v>15012.26999999999</v>
      </c>
      <c r="M50" s="1">
        <f t="shared" si="3"/>
        <v>2023</v>
      </c>
    </row>
    <row r="51" spans="1:13" x14ac:dyDescent="0.35">
      <c r="A51" s="1" t="s">
        <v>122</v>
      </c>
      <c r="B51" s="1" t="s">
        <v>123</v>
      </c>
      <c r="C51" s="1" t="s">
        <v>24</v>
      </c>
      <c r="D51" s="1">
        <v>21.28</v>
      </c>
      <c r="E51" s="1" t="s">
        <v>12</v>
      </c>
      <c r="F51" s="1">
        <v>2015.79</v>
      </c>
      <c r="G51" s="1">
        <v>2166.39</v>
      </c>
      <c r="H51" s="1">
        <v>171</v>
      </c>
      <c r="I51" s="1">
        <f t="shared" si="0"/>
        <v>344700.08999999997</v>
      </c>
      <c r="J51" s="1">
        <f t="shared" si="1"/>
        <v>370452.69</v>
      </c>
      <c r="K51" s="1">
        <v>7.47</v>
      </c>
      <c r="L51" s="1">
        <f t="shared" si="2"/>
        <v>25752.600000000035</v>
      </c>
      <c r="M51" s="1">
        <f t="shared" si="3"/>
        <v>2021</v>
      </c>
    </row>
    <row r="52" spans="1:13" x14ac:dyDescent="0.35">
      <c r="A52" s="1" t="s">
        <v>124</v>
      </c>
      <c r="B52" s="1" t="s">
        <v>125</v>
      </c>
      <c r="C52" s="1" t="s">
        <v>40</v>
      </c>
      <c r="D52" s="1">
        <v>11.57</v>
      </c>
      <c r="E52" s="1" t="s">
        <v>18</v>
      </c>
      <c r="F52" s="1">
        <v>2658.03</v>
      </c>
      <c r="G52" s="1">
        <v>2517</v>
      </c>
      <c r="H52" s="1">
        <v>95</v>
      </c>
      <c r="I52" s="1">
        <f t="shared" si="0"/>
        <v>252512.85</v>
      </c>
      <c r="J52" s="1">
        <f t="shared" si="1"/>
        <v>239115</v>
      </c>
      <c r="K52" s="1">
        <v>-5.31</v>
      </c>
      <c r="L52" s="1">
        <f t="shared" si="2"/>
        <v>-13397.850000000006</v>
      </c>
      <c r="M52" s="1">
        <f t="shared" si="3"/>
        <v>2023</v>
      </c>
    </row>
    <row r="53" spans="1:13" x14ac:dyDescent="0.35">
      <c r="A53" s="1" t="s">
        <v>126</v>
      </c>
      <c r="B53" s="1" t="s">
        <v>127</v>
      </c>
      <c r="C53" s="1" t="s">
        <v>40</v>
      </c>
      <c r="D53" s="1">
        <v>22.74</v>
      </c>
      <c r="E53" s="1" t="s">
        <v>12</v>
      </c>
      <c r="F53" s="1">
        <v>891.61</v>
      </c>
      <c r="G53" s="1">
        <v>830.71</v>
      </c>
      <c r="H53" s="1">
        <v>1</v>
      </c>
      <c r="I53" s="1">
        <f t="shared" si="0"/>
        <v>891.61</v>
      </c>
      <c r="J53" s="1">
        <f t="shared" si="1"/>
        <v>830.71</v>
      </c>
      <c r="K53" s="1">
        <v>-6.83</v>
      </c>
      <c r="L53" s="1">
        <f t="shared" si="2"/>
        <v>-60.899999999999977</v>
      </c>
      <c r="M53" s="1">
        <f t="shared" si="3"/>
        <v>2020</v>
      </c>
    </row>
    <row r="54" spans="1:13" x14ac:dyDescent="0.35">
      <c r="A54" s="1" t="s">
        <v>128</v>
      </c>
      <c r="B54" s="1" t="s">
        <v>129</v>
      </c>
      <c r="C54" s="1" t="s">
        <v>40</v>
      </c>
      <c r="D54" s="1">
        <v>6.63</v>
      </c>
      <c r="E54" s="1" t="s">
        <v>66</v>
      </c>
      <c r="F54" s="1">
        <v>355.38</v>
      </c>
      <c r="G54" s="1">
        <v>391.72</v>
      </c>
      <c r="H54" s="1">
        <v>43</v>
      </c>
      <c r="I54" s="1">
        <f t="shared" si="0"/>
        <v>15281.34</v>
      </c>
      <c r="J54" s="1">
        <f t="shared" si="1"/>
        <v>16843.960000000003</v>
      </c>
      <c r="K54" s="1">
        <v>10.23</v>
      </c>
      <c r="L54" s="1">
        <f t="shared" si="2"/>
        <v>1562.6200000000026</v>
      </c>
      <c r="M54" s="1">
        <f t="shared" si="3"/>
        <v>2023</v>
      </c>
    </row>
    <row r="55" spans="1:13" x14ac:dyDescent="0.35">
      <c r="A55" s="1" t="s">
        <v>130</v>
      </c>
      <c r="B55" s="1" t="s">
        <v>131</v>
      </c>
      <c r="C55" s="1" t="s">
        <v>40</v>
      </c>
      <c r="D55" s="1">
        <v>10.84</v>
      </c>
      <c r="E55" s="1" t="s">
        <v>25</v>
      </c>
      <c r="F55" s="1">
        <v>1330.91</v>
      </c>
      <c r="G55" s="1">
        <v>1440.23</v>
      </c>
      <c r="H55" s="1">
        <v>162</v>
      </c>
      <c r="I55" s="1">
        <f t="shared" si="0"/>
        <v>215607.42</v>
      </c>
      <c r="J55" s="1">
        <f t="shared" si="1"/>
        <v>233317.26</v>
      </c>
      <c r="K55" s="1">
        <v>8.2100000000000009</v>
      </c>
      <c r="L55" s="1">
        <f t="shared" si="2"/>
        <v>17709.839999999997</v>
      </c>
      <c r="M55" s="1">
        <f t="shared" si="3"/>
        <v>2021</v>
      </c>
    </row>
    <row r="56" spans="1:13" x14ac:dyDescent="0.35">
      <c r="A56" s="1" t="s">
        <v>9</v>
      </c>
      <c r="B56" s="1" t="s">
        <v>132</v>
      </c>
      <c r="C56" s="1" t="s">
        <v>40</v>
      </c>
      <c r="D56" s="1">
        <v>15.34</v>
      </c>
      <c r="E56" s="1" t="s">
        <v>48</v>
      </c>
      <c r="F56" s="1">
        <v>2989.85</v>
      </c>
      <c r="G56" s="1">
        <v>2683.06</v>
      </c>
      <c r="H56" s="1">
        <v>100</v>
      </c>
      <c r="I56" s="1">
        <f t="shared" si="0"/>
        <v>298985</v>
      </c>
      <c r="J56" s="1">
        <f t="shared" si="1"/>
        <v>268306</v>
      </c>
      <c r="K56" s="1">
        <v>-10.26</v>
      </c>
      <c r="L56" s="1">
        <f t="shared" si="2"/>
        <v>-30679</v>
      </c>
      <c r="M56" s="1">
        <f t="shared" si="3"/>
        <v>2023</v>
      </c>
    </row>
  </sheetData>
  <autoFilter ref="A1:L5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Amey Ambelkar</cp:lastModifiedBy>
  <dcterms:created xsi:type="dcterms:W3CDTF">2026-01-10T05:53:37Z</dcterms:created>
  <dcterms:modified xsi:type="dcterms:W3CDTF">2026-01-12T07:08:09Z</dcterms:modified>
</cp:coreProperties>
</file>